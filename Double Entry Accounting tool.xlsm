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0" yWindow="0" windowWidth="25600" windowHeight="14500" tabRatio="500"/>
  </bookViews>
  <sheets>
    <sheet name="Journal" sheetId="4" r:id="rId1"/>
    <sheet name="Income" sheetId="3" r:id="rId2"/>
    <sheet name="Balance" sheetId="2" r:id="rId3"/>
  </sheets>
  <definedNames>
    <definedName name="Advertisements">Income!$E$15</definedName>
    <definedName name="amount_entry">Journal!$G$11</definedName>
    <definedName name="AP_account">Balance!$E$23</definedName>
    <definedName name="AR_account">Balance!$E$10</definedName>
    <definedName name="bank_account">Balance!$E$11</definedName>
    <definedName name="cash_account">Balance!$D$9</definedName>
    <definedName name="cash_balance">Balance!$E$9</definedName>
    <definedName name="credit_amount_column">Journal!$H$16:$H$53</definedName>
    <definedName name="credit_column">Journal!$F$16:$F$53</definedName>
    <definedName name="credit_entry">Journal!$F$11</definedName>
    <definedName name="date_column">Journal!$C$16:$C$53</definedName>
    <definedName name="date_entry">Journal!$C$11</definedName>
    <definedName name="debit_amount_column">Journal!$G$16:$G$53</definedName>
    <definedName name="debit_column">Journal!$E$16:$E$53</definedName>
    <definedName name="debit_entry">Journal!$E$11</definedName>
    <definedName name="description_column">Journal!$D$16:$D$53</definedName>
    <definedName name="description_entry">Journal!$D$11</definedName>
    <definedName name="income_after_tax">Income!$E$20</definedName>
    <definedName name="income_before_tax">Income!$E$19</definedName>
    <definedName name="Ingredients">Income!$E$12</definedName>
    <definedName name="journal">Journal!$C$16:$H$53</definedName>
    <definedName name="Labor">Income!$E$13</definedName>
    <definedName name="loan_account">Balance!$E$25</definedName>
    <definedName name="machinery_account">Balance!$E$15</definedName>
    <definedName name="Materials">Income!$E$16</definedName>
    <definedName name="net_income">Income!$E$22</definedName>
    <definedName name="Other">Income!#REF!</definedName>
    <definedName name="pack12_revenue">Income!$E$7</definedName>
    <definedName name="pack24_revenue">Income!$E$8</definedName>
    <definedName name="Rent">Income!$E$17</definedName>
    <definedName name="retained_earnings">Balance!$E$29</definedName>
    <definedName name="test">Journal!$C$28:$H$31</definedName>
    <definedName name="test2">#REF!</definedName>
    <definedName name="test3">#REF!</definedName>
    <definedName name="total_assets">Balance!$E$19</definedName>
    <definedName name="total_equity">Balance!$E$32</definedName>
    <definedName name="total_expenses">Income!$E$18</definedName>
    <definedName name="total_liabilities">Balance!$E$26</definedName>
    <definedName name="total_revenue">Income!$E$9</definedName>
    <definedName name="Utilities">Income!$E$14</definedName>
    <definedName name="WP_account">Balance!$E$24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4" l="1"/>
  <c r="E7" i="3"/>
  <c r="E8" i="3"/>
  <c r="E9" i="3"/>
  <c r="E12" i="3"/>
  <c r="E13" i="3"/>
  <c r="E14" i="3"/>
  <c r="E15" i="3"/>
  <c r="E16" i="3"/>
  <c r="E17" i="3"/>
  <c r="E18" i="3"/>
  <c r="E19" i="3"/>
  <c r="E20" i="3"/>
  <c r="E22" i="3"/>
  <c r="E29" i="2"/>
  <c r="E23" i="2"/>
  <c r="E24" i="2"/>
  <c r="E25" i="2"/>
  <c r="E26" i="2"/>
  <c r="E32" i="2"/>
  <c r="E33" i="2"/>
  <c r="E15" i="2"/>
  <c r="E9" i="2"/>
  <c r="E10" i="2"/>
  <c r="E11" i="2"/>
  <c r="E19" i="2"/>
  <c r="E12" i="2"/>
  <c r="E18" i="2"/>
  <c r="E45" i="2"/>
  <c r="E44" i="2"/>
  <c r="E43" i="2"/>
  <c r="E42" i="2"/>
  <c r="E41" i="2"/>
</calcChain>
</file>

<file path=xl/sharedStrings.xml><?xml version="1.0" encoding="utf-8"?>
<sst xmlns="http://schemas.openxmlformats.org/spreadsheetml/2006/main" count="149" uniqueCount="78">
  <si>
    <t>Date</t>
  </si>
  <si>
    <t>Amount</t>
  </si>
  <si>
    <t>Cash</t>
  </si>
  <si>
    <t>Entry Row</t>
  </si>
  <si>
    <t>12-pack</t>
  </si>
  <si>
    <t>Revenue</t>
  </si>
  <si>
    <t>Total Revenues</t>
  </si>
  <si>
    <t>Expenses</t>
  </si>
  <si>
    <t>Total Expenses</t>
  </si>
  <si>
    <t>Net Income Before Taxes</t>
  </si>
  <si>
    <t>Assets</t>
  </si>
  <si>
    <t>Current Assets</t>
  </si>
  <si>
    <t>Total Assets</t>
  </si>
  <si>
    <t>Liabilities and Owner's Equity</t>
  </si>
  <si>
    <t>Accounts payable</t>
  </si>
  <si>
    <t>Total current liabilities</t>
  </si>
  <si>
    <t>Owner's Equity</t>
  </si>
  <si>
    <t>Retained earnings</t>
  </si>
  <si>
    <t>Total Liabilities and Owner's Equity</t>
  </si>
  <si>
    <t>Common Financial Ratios</t>
  </si>
  <si>
    <r>
      <t xml:space="preserve">Debt Ratio </t>
    </r>
    <r>
      <rPr>
        <sz val="10"/>
        <rFont val="Calibri"/>
        <family val="2"/>
        <scheme val="minor"/>
      </rPr>
      <t>(Total Liabilities / Total Assets)</t>
    </r>
  </si>
  <si>
    <r>
      <t xml:space="preserve">Current Ratio </t>
    </r>
    <r>
      <rPr>
        <sz val="10"/>
        <rFont val="Calibri"/>
        <family val="2"/>
        <scheme val="minor"/>
      </rPr>
      <t>(Current Assets / Current Liabilities)</t>
    </r>
  </si>
  <si>
    <r>
      <t xml:space="preserve">Working Capital </t>
    </r>
    <r>
      <rPr>
        <sz val="10"/>
        <rFont val="Calibri"/>
        <family val="2"/>
        <scheme val="minor"/>
      </rPr>
      <t>(Current Assets - Current Liabilities)</t>
    </r>
  </si>
  <si>
    <r>
      <t>Assets-to-Equity Ratio</t>
    </r>
    <r>
      <rPr>
        <sz val="10"/>
        <rFont val="Calibri"/>
        <family val="2"/>
        <scheme val="minor"/>
      </rPr>
      <t xml:space="preserve"> (Total Assets / Owner's Equity)</t>
    </r>
  </si>
  <si>
    <r>
      <t>Debt-to-Equity Ratio</t>
    </r>
    <r>
      <rPr>
        <sz val="10"/>
        <rFont val="Calibri"/>
        <family val="2"/>
        <scheme val="minor"/>
      </rPr>
      <t xml:space="preserve"> (Total Liabilities / Owner's Equity)</t>
    </r>
  </si>
  <si>
    <t>Bank</t>
  </si>
  <si>
    <t>Machinery</t>
  </si>
  <si>
    <t>Wages Payable</t>
  </si>
  <si>
    <t>Accounts Payable</t>
  </si>
  <si>
    <t>Ingredients Expenses</t>
  </si>
  <si>
    <t>Labor Expenses</t>
  </si>
  <si>
    <t>Utilities Expenses</t>
  </si>
  <si>
    <t>Advertises Expenses</t>
  </si>
  <si>
    <t>Materials Expenses</t>
  </si>
  <si>
    <t>Accounts Receivable</t>
  </si>
  <si>
    <t>Loan</t>
  </si>
  <si>
    <t>Accounts:</t>
  </si>
  <si>
    <t>Description</t>
  </si>
  <si>
    <t xml:space="preserve">12-pack </t>
  </si>
  <si>
    <t>Debit Account</t>
  </si>
  <si>
    <t>Credit Account</t>
  </si>
  <si>
    <t>Debit Amount</t>
  </si>
  <si>
    <t>Credit Amount</t>
  </si>
  <si>
    <t>12-pack Revenue</t>
  </si>
  <si>
    <t>24-pack Revenue</t>
  </si>
  <si>
    <t>Paid Rent on Account</t>
  </si>
  <si>
    <t>Paid off Rent account</t>
  </si>
  <si>
    <t>Paid electric bill</t>
  </si>
  <si>
    <t>Paid salary</t>
  </si>
  <si>
    <t>Paid off salary account</t>
  </si>
  <si>
    <t>Sale of cookies</t>
  </si>
  <si>
    <t>Deposit money in bank</t>
  </si>
  <si>
    <t>Buy oven</t>
  </si>
  <si>
    <t>Bank Loan</t>
  </si>
  <si>
    <t>Loan repay</t>
  </si>
  <si>
    <t>TV advertisement</t>
  </si>
  <si>
    <t>Buy flour</t>
  </si>
  <si>
    <t>Buy cardboard</t>
  </si>
  <si>
    <t>Sell cookies</t>
  </si>
  <si>
    <t>Receive partial payment</t>
  </si>
  <si>
    <t>Legal fees</t>
  </si>
  <si>
    <t>Sale of oven</t>
  </si>
  <si>
    <t>Wages payable</t>
  </si>
  <si>
    <t>Loans</t>
  </si>
  <si>
    <t>Rent Expenses</t>
  </si>
  <si>
    <t>Tax Expenses</t>
  </si>
  <si>
    <t>12-pack sales</t>
  </si>
  <si>
    <t>24-pack sales</t>
  </si>
  <si>
    <t>Net Income</t>
  </si>
  <si>
    <t>Long-Term Assets</t>
  </si>
  <si>
    <t>Total Long-Term Assets</t>
  </si>
  <si>
    <t>Total current Assets</t>
  </si>
  <si>
    <t>Liabilities</t>
  </si>
  <si>
    <t>Total Owner's Equity</t>
  </si>
  <si>
    <t>Balance Sheet</t>
  </si>
  <si>
    <t>Pay Internet bill</t>
  </si>
  <si>
    <t>Income sheet</t>
  </si>
  <si>
    <t>Journal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</si>
</sst>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4" formatCode="_(&quot;$&quot;* #,##0.00_);_(&quot;$&quot;* \(#,##0.00\);_(&quot;$&quot;* &quot;-&quot;??_);_(@_)"/>
    <numFmt numFmtId="164" formatCode="[$-409]d\-mmm;@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Lucida Grande"/>
    </font>
    <font>
      <b/>
      <sz val="14"/>
      <color indexed="9"/>
      <name val="Cambria"/>
      <family val="1"/>
      <scheme val="major"/>
    </font>
    <font>
      <sz val="10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scheme val="minor"/>
    </font>
    <font>
      <b/>
      <sz val="10"/>
      <name val="Calibri"/>
      <family val="2"/>
      <scheme val="minor"/>
    </font>
    <font>
      <sz val="12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911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164" fontId="0" fillId="3" borderId="1" xfId="0" applyNumberFormat="1" applyFill="1" applyBorder="1"/>
    <xf numFmtId="0" fontId="0" fillId="3" borderId="1" xfId="0" applyFill="1" applyBorder="1"/>
    <xf numFmtId="0" fontId="6" fillId="2" borderId="1" xfId="0" applyFont="1" applyFill="1" applyBorder="1"/>
    <xf numFmtId="14" fontId="6" fillId="2" borderId="1" xfId="0" applyNumberFormat="1" applyFont="1" applyFill="1" applyBorder="1"/>
    <xf numFmtId="0" fontId="8" fillId="4" borderId="0" xfId="0" applyFont="1" applyFill="1" applyAlignment="1" applyProtection="1">
      <alignment vertical="center"/>
    </xf>
    <xf numFmtId="0" fontId="13" fillId="5" borderId="0" xfId="0" applyFont="1" applyFill="1" applyAlignment="1" applyProtection="1">
      <alignment vertical="center"/>
    </xf>
    <xf numFmtId="2" fontId="9" fillId="5" borderId="0" xfId="337" applyNumberFormat="1" applyFont="1" applyFill="1" applyAlignment="1" applyProtection="1">
      <alignment vertical="center"/>
    </xf>
    <xf numFmtId="41" fontId="9" fillId="5" borderId="0" xfId="4814" applyNumberFormat="1" applyFont="1" applyFill="1" applyAlignment="1" applyProtection="1">
      <alignment vertical="center"/>
    </xf>
    <xf numFmtId="0" fontId="10" fillId="0" borderId="0" xfId="0" applyFont="1" applyProtection="1"/>
    <xf numFmtId="44" fontId="0" fillId="3" borderId="1" xfId="0" applyNumberFormat="1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  <xf numFmtId="0" fontId="12" fillId="2" borderId="1" xfId="0" applyFont="1" applyFill="1" applyBorder="1" applyAlignment="1" applyProtection="1">
      <alignment vertical="center"/>
    </xf>
    <xf numFmtId="44" fontId="14" fillId="2" borderId="1" xfId="4814" applyNumberFormat="1" applyFont="1" applyFill="1" applyBorder="1" applyAlignment="1" applyProtection="1">
      <alignment vertical="center"/>
      <protection locked="0"/>
    </xf>
    <xf numFmtId="44" fontId="14" fillId="2" borderId="1" xfId="0" applyNumberFormat="1" applyFont="1" applyFill="1" applyBorder="1" applyAlignment="1" applyProtection="1">
      <alignment vertical="center"/>
    </xf>
    <xf numFmtId="0" fontId="1" fillId="3" borderId="1" xfId="0" applyFont="1" applyFill="1" applyBorder="1"/>
    <xf numFmtId="44" fontId="14" fillId="3" borderId="1" xfId="4814" applyNumberFormat="1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/>
    <xf numFmtId="44" fontId="14" fillId="2" borderId="6" xfId="4814" applyNumberFormat="1" applyFont="1" applyFill="1" applyBorder="1" applyAlignment="1" applyProtection="1">
      <alignment vertical="center"/>
      <protection locked="0"/>
    </xf>
    <xf numFmtId="44" fontId="11" fillId="2" borderId="5" xfId="4814" applyNumberFormat="1" applyFont="1" applyFill="1" applyBorder="1" applyAlignment="1" applyProtection="1">
      <alignment vertical="center"/>
      <protection locked="0"/>
    </xf>
    <xf numFmtId="0" fontId="0" fillId="3" borderId="7" xfId="0" applyFill="1" applyBorder="1"/>
    <xf numFmtId="44" fontId="14" fillId="3" borderId="7" xfId="4814" applyNumberFormat="1" applyFont="1" applyFill="1" applyBorder="1" applyAlignment="1" applyProtection="1">
      <alignment vertical="center"/>
      <protection locked="0"/>
    </xf>
    <xf numFmtId="44" fontId="11" fillId="2" borderId="1" xfId="0" applyNumberFormat="1" applyFont="1" applyFill="1" applyBorder="1" applyAlignment="1" applyProtection="1">
      <alignment vertical="center"/>
    </xf>
    <xf numFmtId="0" fontId="6" fillId="2" borderId="1" xfId="0" applyFont="1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</cellXfs>
  <cellStyles count="4911">
    <cellStyle name="Currency" xfId="481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Normal" xfId="0" builtinId="0"/>
    <cellStyle name="Percent" xfId="337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</xdr:colOff>
          <xdr:row>3</xdr:row>
          <xdr:rowOff>88900</xdr:rowOff>
        </xdr:from>
        <xdr:to>
          <xdr:col>2</xdr:col>
          <xdr:colOff>584200</xdr:colOff>
          <xdr:row>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Entry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3</xdr:row>
          <xdr:rowOff>114300</xdr:rowOff>
        </xdr:from>
        <xdr:to>
          <xdr:col>4</xdr:col>
          <xdr:colOff>203200</xdr:colOff>
          <xdr:row>6</xdr:row>
          <xdr:rowOff>165100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3</xdr:row>
          <xdr:rowOff>101600</xdr:rowOff>
        </xdr:from>
        <xdr:to>
          <xdr:col>6</xdr:col>
          <xdr:colOff>571500</xdr:colOff>
          <xdr:row>6</xdr:row>
          <xdr:rowOff>165100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Delete Last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</xdr:row>
          <xdr:rowOff>114300</xdr:rowOff>
        </xdr:from>
        <xdr:to>
          <xdr:col>8</xdr:col>
          <xdr:colOff>393700</xdr:colOff>
          <xdr:row>6</xdr:row>
          <xdr:rowOff>127000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Sort Journal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B3:J53"/>
  <sheetViews>
    <sheetView tabSelected="1" workbookViewId="0">
      <selection activeCell="A3" sqref="A3"/>
    </sheetView>
  </sheetViews>
  <sheetFormatPr baseColWidth="10" defaultRowHeight="15" x14ac:dyDescent="0"/>
  <cols>
    <col min="3" max="3" width="8.1640625" customWidth="1"/>
    <col min="4" max="4" width="21" bestFit="1" customWidth="1"/>
    <col min="5" max="5" width="18" bestFit="1" customWidth="1"/>
    <col min="6" max="6" width="18.33203125" bestFit="1" customWidth="1"/>
    <col min="7" max="7" width="13" bestFit="1" customWidth="1"/>
    <col min="8" max="8" width="13.5" bestFit="1" customWidth="1"/>
    <col min="10" max="10" width="18.33203125" bestFit="1" customWidth="1"/>
  </cols>
  <sheetData>
    <row r="3" spans="2:10">
      <c r="J3" s="3" t="s">
        <v>36</v>
      </c>
    </row>
    <row r="4" spans="2:10">
      <c r="J4" s="2" t="s">
        <v>43</v>
      </c>
    </row>
    <row r="5" spans="2:10">
      <c r="J5" s="2" t="s">
        <v>44</v>
      </c>
    </row>
    <row r="6" spans="2:10">
      <c r="J6" s="2" t="s">
        <v>2</v>
      </c>
    </row>
    <row r="7" spans="2:10">
      <c r="J7" s="2" t="s">
        <v>25</v>
      </c>
    </row>
    <row r="8" spans="2:10">
      <c r="J8" s="2" t="s">
        <v>26</v>
      </c>
    </row>
    <row r="9" spans="2:10">
      <c r="J9" s="2" t="s">
        <v>35</v>
      </c>
    </row>
    <row r="10" spans="2:10">
      <c r="C10" s="3" t="s">
        <v>0</v>
      </c>
      <c r="D10" s="3" t="s">
        <v>37</v>
      </c>
      <c r="E10" s="3" t="s">
        <v>39</v>
      </c>
      <c r="F10" s="3" t="s">
        <v>40</v>
      </c>
      <c r="G10" s="28" t="s">
        <v>1</v>
      </c>
      <c r="H10" s="28"/>
      <c r="J10" s="2" t="s">
        <v>34</v>
      </c>
    </row>
    <row r="11" spans="2:10">
      <c r="B11" s="4" t="s">
        <v>3</v>
      </c>
      <c r="C11" s="1">
        <f ca="1">TODAY()</f>
        <v>43319</v>
      </c>
      <c r="D11" s="2"/>
      <c r="E11" s="1"/>
      <c r="F11" s="2"/>
      <c r="G11" s="29">
        <v>0</v>
      </c>
      <c r="H11" s="29"/>
      <c r="J11" s="2" t="s">
        <v>27</v>
      </c>
    </row>
    <row r="12" spans="2:10">
      <c r="J12" s="2" t="s">
        <v>28</v>
      </c>
    </row>
    <row r="13" spans="2:10">
      <c r="J13" s="2" t="s">
        <v>29</v>
      </c>
    </row>
    <row r="14" spans="2:10">
      <c r="J14" s="2" t="s">
        <v>30</v>
      </c>
    </row>
    <row r="15" spans="2:10">
      <c r="B15" s="4" t="s">
        <v>77</v>
      </c>
      <c r="C15" s="3" t="s">
        <v>0</v>
      </c>
      <c r="D15" s="3" t="s">
        <v>37</v>
      </c>
      <c r="E15" s="3" t="s">
        <v>39</v>
      </c>
      <c r="F15" s="3" t="s">
        <v>40</v>
      </c>
      <c r="G15" s="3" t="s">
        <v>41</v>
      </c>
      <c r="H15" s="3" t="s">
        <v>42</v>
      </c>
      <c r="J15" s="2" t="s">
        <v>31</v>
      </c>
    </row>
    <row r="16" spans="2:10">
      <c r="C16" s="1">
        <v>43164</v>
      </c>
      <c r="D16" s="2" t="s">
        <v>75</v>
      </c>
      <c r="E16" s="2" t="s">
        <v>31</v>
      </c>
      <c r="F16" s="2"/>
      <c r="G16" s="10">
        <v>290</v>
      </c>
      <c r="H16" s="10"/>
      <c r="J16" s="2" t="s">
        <v>32</v>
      </c>
    </row>
    <row r="17" spans="3:10">
      <c r="C17" s="1">
        <v>43164</v>
      </c>
      <c r="D17" s="2" t="s">
        <v>75</v>
      </c>
      <c r="E17" s="2"/>
      <c r="F17" s="2" t="s">
        <v>28</v>
      </c>
      <c r="G17" s="11"/>
      <c r="H17" s="11">
        <v>290</v>
      </c>
      <c r="J17" s="2" t="s">
        <v>33</v>
      </c>
    </row>
    <row r="18" spans="3:10">
      <c r="C18" s="1">
        <v>43165</v>
      </c>
      <c r="D18" s="2" t="s">
        <v>53</v>
      </c>
      <c r="E18" s="2" t="s">
        <v>2</v>
      </c>
      <c r="F18" s="2"/>
      <c r="G18" s="11">
        <v>5000</v>
      </c>
      <c r="H18" s="11"/>
      <c r="J18" s="2" t="s">
        <v>64</v>
      </c>
    </row>
    <row r="19" spans="3:10">
      <c r="C19" s="1">
        <v>43165</v>
      </c>
      <c r="D19" s="2" t="s">
        <v>53</v>
      </c>
      <c r="E19" s="2"/>
      <c r="F19" s="2" t="s">
        <v>35</v>
      </c>
      <c r="G19" s="11"/>
      <c r="H19" s="11">
        <v>5000</v>
      </c>
      <c r="J19" s="2" t="s">
        <v>65</v>
      </c>
    </row>
    <row r="20" spans="3:10">
      <c r="C20" s="1">
        <v>43198</v>
      </c>
      <c r="D20" s="2" t="s">
        <v>52</v>
      </c>
      <c r="E20" s="2" t="s">
        <v>26</v>
      </c>
      <c r="F20" s="2"/>
      <c r="G20" s="11">
        <v>249</v>
      </c>
      <c r="H20" s="11"/>
    </row>
    <row r="21" spans="3:10">
      <c r="C21" s="1">
        <v>43198</v>
      </c>
      <c r="D21" s="2" t="s">
        <v>52</v>
      </c>
      <c r="E21" s="2"/>
      <c r="F21" s="2" t="s">
        <v>2</v>
      </c>
      <c r="G21" s="11"/>
      <c r="H21" s="11">
        <v>249</v>
      </c>
    </row>
    <row r="22" spans="3:10">
      <c r="C22" s="1">
        <v>43301</v>
      </c>
      <c r="D22" s="2" t="s">
        <v>45</v>
      </c>
      <c r="E22" s="2" t="s">
        <v>64</v>
      </c>
      <c r="F22" s="2"/>
      <c r="G22" s="11">
        <v>400</v>
      </c>
      <c r="H22" s="11"/>
    </row>
    <row r="23" spans="3:10">
      <c r="C23" s="1">
        <v>43301</v>
      </c>
      <c r="D23" s="2" t="s">
        <v>45</v>
      </c>
      <c r="E23" s="2"/>
      <c r="F23" s="2" t="s">
        <v>28</v>
      </c>
      <c r="G23" s="11"/>
      <c r="H23" s="11">
        <v>400</v>
      </c>
    </row>
    <row r="24" spans="3:10">
      <c r="C24" s="1">
        <v>43302</v>
      </c>
      <c r="D24" s="2" t="s">
        <v>46</v>
      </c>
      <c r="E24" s="2" t="s">
        <v>28</v>
      </c>
      <c r="F24" s="2"/>
      <c r="G24" s="11">
        <v>300</v>
      </c>
      <c r="H24" s="11"/>
    </row>
    <row r="25" spans="3:10">
      <c r="C25" s="1">
        <v>43302</v>
      </c>
      <c r="D25" s="2" t="s">
        <v>46</v>
      </c>
      <c r="E25" s="2"/>
      <c r="F25" s="2" t="s">
        <v>2</v>
      </c>
      <c r="G25" s="11"/>
      <c r="H25" s="11">
        <v>300</v>
      </c>
    </row>
    <row r="26" spans="3:10">
      <c r="C26" s="1">
        <v>43303</v>
      </c>
      <c r="D26" s="2" t="s">
        <v>47</v>
      </c>
      <c r="E26" s="2" t="s">
        <v>31</v>
      </c>
      <c r="F26" s="2"/>
      <c r="G26" s="11">
        <v>230</v>
      </c>
      <c r="H26" s="11"/>
    </row>
    <row r="27" spans="3:10">
      <c r="C27" s="1">
        <v>43303</v>
      </c>
      <c r="D27" s="2" t="s">
        <v>47</v>
      </c>
      <c r="E27" s="2"/>
      <c r="F27" s="2" t="s">
        <v>2</v>
      </c>
      <c r="G27" s="11"/>
      <c r="H27" s="11">
        <v>230</v>
      </c>
    </row>
    <row r="28" spans="3:10">
      <c r="C28" s="1">
        <v>43304</v>
      </c>
      <c r="D28" s="2" t="s">
        <v>48</v>
      </c>
      <c r="E28" s="2" t="s">
        <v>30</v>
      </c>
      <c r="F28" s="2"/>
      <c r="G28" s="11">
        <v>200</v>
      </c>
      <c r="H28" s="11"/>
    </row>
    <row r="29" spans="3:10">
      <c r="C29" s="1">
        <v>43304</v>
      </c>
      <c r="D29" s="2" t="s">
        <v>48</v>
      </c>
      <c r="E29" s="2"/>
      <c r="F29" s="2" t="s">
        <v>27</v>
      </c>
      <c r="G29" s="11"/>
      <c r="H29" s="11">
        <v>200</v>
      </c>
    </row>
    <row r="30" spans="3:10">
      <c r="C30" s="1">
        <v>43305</v>
      </c>
      <c r="D30" s="2" t="s">
        <v>49</v>
      </c>
      <c r="E30" s="2" t="s">
        <v>27</v>
      </c>
      <c r="F30" s="2"/>
      <c r="G30" s="11">
        <v>100</v>
      </c>
      <c r="H30" s="11"/>
    </row>
    <row r="31" spans="3:10">
      <c r="C31" s="1">
        <v>43305</v>
      </c>
      <c r="D31" s="2" t="s">
        <v>49</v>
      </c>
      <c r="E31" s="2"/>
      <c r="F31" s="2" t="s">
        <v>2</v>
      </c>
      <c r="G31" s="11"/>
      <c r="H31" s="11">
        <v>100</v>
      </c>
    </row>
    <row r="32" spans="3:10">
      <c r="C32" s="1">
        <v>43305</v>
      </c>
      <c r="D32" s="2" t="s">
        <v>50</v>
      </c>
      <c r="E32" s="2" t="s">
        <v>2</v>
      </c>
      <c r="F32" s="2"/>
      <c r="G32" s="11">
        <v>1000</v>
      </c>
      <c r="H32" s="11"/>
    </row>
    <row r="33" spans="3:8">
      <c r="C33" s="1">
        <v>43305</v>
      </c>
      <c r="D33" s="2" t="s">
        <v>50</v>
      </c>
      <c r="E33" s="2"/>
      <c r="F33" s="2" t="s">
        <v>43</v>
      </c>
      <c r="G33" s="11"/>
      <c r="H33" s="11">
        <v>1000</v>
      </c>
    </row>
    <row r="34" spans="3:8">
      <c r="C34" s="1">
        <v>43305</v>
      </c>
      <c r="D34" s="2" t="s">
        <v>51</v>
      </c>
      <c r="E34" s="2" t="s">
        <v>25</v>
      </c>
      <c r="F34" s="2"/>
      <c r="G34" s="11">
        <v>700</v>
      </c>
      <c r="H34" s="11"/>
    </row>
    <row r="35" spans="3:8">
      <c r="C35" s="1">
        <v>43305</v>
      </c>
      <c r="D35" s="2" t="s">
        <v>51</v>
      </c>
      <c r="E35" s="2"/>
      <c r="F35" s="2" t="s">
        <v>2</v>
      </c>
      <c r="G35" s="11"/>
      <c r="H35" s="11">
        <v>700</v>
      </c>
    </row>
    <row r="36" spans="3:8">
      <c r="C36" s="1">
        <v>43306</v>
      </c>
      <c r="D36" s="2" t="s">
        <v>38</v>
      </c>
      <c r="E36" s="2" t="s">
        <v>5</v>
      </c>
      <c r="F36" s="2"/>
      <c r="G36" s="11">
        <v>12.5</v>
      </c>
      <c r="H36" s="11"/>
    </row>
    <row r="37" spans="3:8">
      <c r="C37" s="1">
        <v>43306</v>
      </c>
      <c r="D37" s="2" t="s">
        <v>4</v>
      </c>
      <c r="E37" s="1"/>
      <c r="F37" s="2" t="s">
        <v>5</v>
      </c>
      <c r="G37" s="11"/>
      <c r="H37" s="11">
        <v>12.5</v>
      </c>
    </row>
    <row r="38" spans="3:8">
      <c r="C38" s="1">
        <v>43307</v>
      </c>
      <c r="D38" s="2" t="s">
        <v>54</v>
      </c>
      <c r="E38" s="2" t="s">
        <v>35</v>
      </c>
      <c r="F38" s="2"/>
      <c r="G38" s="11">
        <v>300</v>
      </c>
      <c r="H38" s="11"/>
    </row>
    <row r="39" spans="3:8">
      <c r="C39" s="1">
        <v>43307</v>
      </c>
      <c r="D39" s="2" t="s">
        <v>54</v>
      </c>
      <c r="E39" s="2"/>
      <c r="F39" s="2" t="s">
        <v>25</v>
      </c>
      <c r="G39" s="11"/>
      <c r="H39" s="11">
        <v>300</v>
      </c>
    </row>
    <row r="40" spans="3:8">
      <c r="C40" s="1">
        <v>43308</v>
      </c>
      <c r="D40" s="2" t="s">
        <v>55</v>
      </c>
      <c r="E40" s="2" t="s">
        <v>32</v>
      </c>
      <c r="F40" s="2"/>
      <c r="G40" s="11">
        <v>40</v>
      </c>
      <c r="H40" s="11"/>
    </row>
    <row r="41" spans="3:8">
      <c r="C41" s="1">
        <v>43308</v>
      </c>
      <c r="D41" s="2" t="s">
        <v>55</v>
      </c>
      <c r="E41" s="2"/>
      <c r="F41" s="2" t="s">
        <v>25</v>
      </c>
      <c r="G41" s="11"/>
      <c r="H41" s="11">
        <v>40</v>
      </c>
    </row>
    <row r="42" spans="3:8">
      <c r="C42" s="1">
        <v>43309</v>
      </c>
      <c r="D42" s="2" t="s">
        <v>56</v>
      </c>
      <c r="E42" s="2" t="s">
        <v>29</v>
      </c>
      <c r="F42" s="2"/>
      <c r="G42" s="11">
        <v>120</v>
      </c>
      <c r="H42" s="11"/>
    </row>
    <row r="43" spans="3:8">
      <c r="C43" s="1">
        <v>43309</v>
      </c>
      <c r="D43" s="2" t="s">
        <v>56</v>
      </c>
      <c r="E43" s="2"/>
      <c r="F43" s="2" t="s">
        <v>2</v>
      </c>
      <c r="G43" s="11"/>
      <c r="H43" s="11">
        <v>120</v>
      </c>
    </row>
    <row r="44" spans="3:8">
      <c r="C44" s="1">
        <v>43309</v>
      </c>
      <c r="D44" s="2" t="s">
        <v>57</v>
      </c>
      <c r="E44" s="2" t="s">
        <v>33</v>
      </c>
      <c r="F44" s="2"/>
      <c r="G44" s="11">
        <v>100</v>
      </c>
      <c r="H44" s="11"/>
    </row>
    <row r="45" spans="3:8">
      <c r="C45" s="1">
        <v>43309</v>
      </c>
      <c r="D45" s="2" t="s">
        <v>57</v>
      </c>
      <c r="E45" s="2"/>
      <c r="F45" s="2" t="s">
        <v>2</v>
      </c>
      <c r="G45" s="11"/>
      <c r="H45" s="11">
        <v>100</v>
      </c>
    </row>
    <row r="46" spans="3:8">
      <c r="C46" s="1">
        <v>43309</v>
      </c>
      <c r="D46" s="2" t="s">
        <v>58</v>
      </c>
      <c r="E46" s="2" t="s">
        <v>34</v>
      </c>
      <c r="F46" s="2"/>
      <c r="G46" s="11">
        <v>2400</v>
      </c>
      <c r="H46" s="11"/>
    </row>
    <row r="47" spans="3:8">
      <c r="C47" s="1">
        <v>43309</v>
      </c>
      <c r="D47" s="2" t="s">
        <v>58</v>
      </c>
      <c r="E47" s="2"/>
      <c r="F47" s="2" t="s">
        <v>44</v>
      </c>
      <c r="G47" s="11"/>
      <c r="H47" s="11">
        <v>2400</v>
      </c>
    </row>
    <row r="48" spans="3:8">
      <c r="C48" s="1">
        <v>43309</v>
      </c>
      <c r="D48" s="2" t="s">
        <v>59</v>
      </c>
      <c r="E48" s="2" t="s">
        <v>25</v>
      </c>
      <c r="F48" s="2"/>
      <c r="G48" s="11">
        <v>1500</v>
      </c>
      <c r="H48" s="11"/>
    </row>
    <row r="49" spans="3:8">
      <c r="C49" s="1">
        <v>43309</v>
      </c>
      <c r="D49" s="2" t="s">
        <v>59</v>
      </c>
      <c r="E49" s="2"/>
      <c r="F49" s="2" t="s">
        <v>34</v>
      </c>
      <c r="G49" s="11"/>
      <c r="H49" s="11">
        <v>1500</v>
      </c>
    </row>
    <row r="50" spans="3:8">
      <c r="C50" s="1">
        <v>43309</v>
      </c>
      <c r="D50" s="2" t="s">
        <v>60</v>
      </c>
      <c r="E50" s="2" t="s">
        <v>65</v>
      </c>
      <c r="F50" s="2"/>
      <c r="G50" s="11">
        <v>65</v>
      </c>
      <c r="H50" s="11"/>
    </row>
    <row r="51" spans="3:8">
      <c r="C51" s="1">
        <v>43309</v>
      </c>
      <c r="D51" s="2" t="s">
        <v>60</v>
      </c>
      <c r="E51" s="2"/>
      <c r="F51" s="2" t="s">
        <v>2</v>
      </c>
      <c r="G51" s="11"/>
      <c r="H51" s="11">
        <v>65</v>
      </c>
    </row>
    <row r="52" spans="3:8">
      <c r="C52" s="1">
        <v>43309</v>
      </c>
      <c r="D52" s="2" t="s">
        <v>61</v>
      </c>
      <c r="E52" s="2" t="s">
        <v>2</v>
      </c>
      <c r="F52" s="2"/>
      <c r="G52" s="11">
        <v>100</v>
      </c>
      <c r="H52" s="11"/>
    </row>
    <row r="53" spans="3:8">
      <c r="C53" s="1">
        <v>43309</v>
      </c>
      <c r="D53" s="2" t="s">
        <v>61</v>
      </c>
      <c r="E53" s="2"/>
      <c r="F53" s="2" t="s">
        <v>26</v>
      </c>
      <c r="G53" s="11"/>
      <c r="H53" s="11">
        <v>100</v>
      </c>
    </row>
  </sheetData>
  <sortState ref="C16:H53">
    <sortCondition ref="C16"/>
  </sortState>
  <mergeCells count="2">
    <mergeCell ref="G10:H10"/>
    <mergeCell ref="G11:H11"/>
  </mergeCells>
  <dataValidations count="2">
    <dataValidation type="list" allowBlank="1" showInputMessage="1" showErrorMessage="1" sqref="E11">
      <formula1>$J$6:$J$19</formula1>
    </dataValidation>
    <dataValidation type="list" allowBlank="1" showInputMessage="1" showErrorMessage="1" sqref="F11">
      <formula1>$J$4:$J$12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clear">
                <anchor moveWithCells="1" sizeWithCells="1">
                  <from>
                    <xdr:col>0</xdr:col>
                    <xdr:colOff>482600</xdr:colOff>
                    <xdr:row>3</xdr:row>
                    <xdr:rowOff>88900</xdr:rowOff>
                  </from>
                  <to>
                    <xdr:col>2</xdr:col>
                    <xdr:colOff>584200</xdr:colOff>
                    <xdr:row>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4.add_entry">
                <anchor moveWithCells="1" sizeWithCells="1">
                  <from>
                    <xdr:col>3</xdr:col>
                    <xdr:colOff>127000</xdr:colOff>
                    <xdr:row>3</xdr:row>
                    <xdr:rowOff>114300</xdr:rowOff>
                  </from>
                  <to>
                    <xdr:col>4</xdr:col>
                    <xdr:colOff>203200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deleteLast">
                <anchor moveWithCells="1" sizeWithCells="1">
                  <from>
                    <xdr:col>4</xdr:col>
                    <xdr:colOff>800100</xdr:colOff>
                    <xdr:row>3</xdr:row>
                    <xdr:rowOff>101600</xdr:rowOff>
                  </from>
                  <to>
                    <xdr:col>6</xdr:col>
                    <xdr:colOff>571500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4.sortjournal">
                <anchor moveWithCells="1" sizeWithCells="1">
                  <from>
                    <xdr:col>7</xdr:col>
                    <xdr:colOff>190500</xdr:colOff>
                    <xdr:row>3</xdr:row>
                    <xdr:rowOff>114300</xdr:rowOff>
                  </from>
                  <to>
                    <xdr:col>8</xdr:col>
                    <xdr:colOff>393700</xdr:colOff>
                    <xdr:row>6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C3:E22"/>
  <sheetViews>
    <sheetView workbookViewId="0">
      <selection activeCell="A8" sqref="A8"/>
    </sheetView>
  </sheetViews>
  <sheetFormatPr baseColWidth="10" defaultRowHeight="15" x14ac:dyDescent="0"/>
  <cols>
    <col min="3" max="3" width="31.1640625" bestFit="1" customWidth="1"/>
    <col min="4" max="4" width="36.83203125" bestFit="1" customWidth="1"/>
    <col min="5" max="5" width="14" customWidth="1"/>
  </cols>
  <sheetData>
    <row r="3" spans="3:5">
      <c r="C3" s="3" t="s">
        <v>76</v>
      </c>
    </row>
    <row r="6" spans="3:5" ht="18">
      <c r="C6" s="3" t="s">
        <v>5</v>
      </c>
      <c r="D6" s="12"/>
      <c r="E6" s="17">
        <v>2018</v>
      </c>
    </row>
    <row r="7" spans="3:5">
      <c r="C7" s="2"/>
      <c r="D7" s="2" t="s">
        <v>66</v>
      </c>
      <c r="E7" s="16">
        <f>SUMIF(credit_column,"12-pack Revenue",credit_amount_column)</f>
        <v>1000</v>
      </c>
    </row>
    <row r="8" spans="3:5">
      <c r="C8" s="2"/>
      <c r="D8" s="2" t="s">
        <v>67</v>
      </c>
      <c r="E8" s="16">
        <f>SUMIF(credit_column,"24-pack Revenue",credit_amount_column)</f>
        <v>2400</v>
      </c>
    </row>
    <row r="9" spans="3:5" ht="18">
      <c r="C9" s="3" t="s">
        <v>6</v>
      </c>
      <c r="D9" s="12"/>
      <c r="E9" s="27">
        <f>pack12_revenue+pack24_revenue</f>
        <v>3400</v>
      </c>
    </row>
    <row r="10" spans="3:5">
      <c r="C10" s="2"/>
      <c r="D10" s="2"/>
      <c r="E10" s="15"/>
    </row>
    <row r="11" spans="3:5" ht="18">
      <c r="C11" s="3" t="s">
        <v>7</v>
      </c>
      <c r="D11" s="12"/>
      <c r="E11" s="14"/>
    </row>
    <row r="12" spans="3:5">
      <c r="C12" s="2"/>
      <c r="D12" s="2" t="s">
        <v>29</v>
      </c>
      <c r="E12" s="16">
        <f>SUMIF(debit_column,"Ingredients Expenses",debit_amount_column)</f>
        <v>120</v>
      </c>
    </row>
    <row r="13" spans="3:5">
      <c r="C13" s="2"/>
      <c r="D13" s="2" t="s">
        <v>30</v>
      </c>
      <c r="E13" s="16">
        <f>SUMIF(debit_column,"Labor Expenses",debit_amount_column)</f>
        <v>200</v>
      </c>
    </row>
    <row r="14" spans="3:5">
      <c r="C14" s="2"/>
      <c r="D14" s="2" t="s">
        <v>31</v>
      </c>
      <c r="E14" s="16">
        <f>SUMIF(debit_column,"Utilities Expenses",debit_amount_column)</f>
        <v>520</v>
      </c>
    </row>
    <row r="15" spans="3:5">
      <c r="C15" s="2"/>
      <c r="D15" s="2" t="s">
        <v>32</v>
      </c>
      <c r="E15" s="16">
        <f>SUMIF(debit_column,"Advertises Expenses",debit_amount_column)</f>
        <v>40</v>
      </c>
    </row>
    <row r="16" spans="3:5">
      <c r="C16" s="2"/>
      <c r="D16" s="2" t="s">
        <v>33</v>
      </c>
      <c r="E16" s="16">
        <f>SUMIF(debit_column,"Materials Expenses",debit_amount_column)</f>
        <v>100</v>
      </c>
    </row>
    <row r="17" spans="3:5">
      <c r="C17" s="2"/>
      <c r="D17" s="2" t="s">
        <v>64</v>
      </c>
      <c r="E17" s="16">
        <f>SUMIF(debit_column,"Rent Expenses",debit_amount_column)</f>
        <v>400</v>
      </c>
    </row>
    <row r="18" spans="3:5" ht="18">
      <c r="C18" s="3" t="s">
        <v>8</v>
      </c>
      <c r="D18" s="12"/>
      <c r="E18" s="27">
        <f>Ingredients+Labor+Utilities+Advertisements+Materials+Rent</f>
        <v>1380</v>
      </c>
    </row>
    <row r="19" spans="3:5">
      <c r="C19" s="2"/>
      <c r="D19" s="2" t="s">
        <v>9</v>
      </c>
      <c r="E19" s="16">
        <f>total_revenue-total_expenses</f>
        <v>2020</v>
      </c>
    </row>
    <row r="20" spans="3:5">
      <c r="C20" s="2"/>
      <c r="D20" s="2" t="s">
        <v>65</v>
      </c>
      <c r="E20" s="16">
        <f>SUMIF(debit_column,"Tax Expenses",debit_amount_column)</f>
        <v>65</v>
      </c>
    </row>
    <row r="21" spans="3:5">
      <c r="C21" s="2"/>
      <c r="D21" s="2"/>
      <c r="E21" s="16"/>
    </row>
    <row r="22" spans="3:5" ht="18">
      <c r="C22" s="3" t="s">
        <v>68</v>
      </c>
      <c r="D22" s="12"/>
      <c r="E22" s="27">
        <f>income_before_tax-income_after_tax</f>
        <v>1955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C2:E46"/>
  <sheetViews>
    <sheetView topLeftCell="A2" workbookViewId="0">
      <selection activeCell="C36" sqref="C36"/>
    </sheetView>
  </sheetViews>
  <sheetFormatPr baseColWidth="10" defaultRowHeight="15" x14ac:dyDescent="0"/>
  <cols>
    <col min="3" max="3" width="39.1640625" bestFit="1" customWidth="1"/>
    <col min="4" max="4" width="24.33203125" bestFit="1" customWidth="1"/>
    <col min="5" max="5" width="10.6640625" bestFit="1" customWidth="1"/>
    <col min="6" max="6" width="7.5" bestFit="1" customWidth="1"/>
  </cols>
  <sheetData>
    <row r="2" spans="3:5" ht="16" thickBot="1"/>
    <row r="3" spans="3:5" ht="16" thickBot="1">
      <c r="C3" s="19" t="s">
        <v>74</v>
      </c>
    </row>
    <row r="6" spans="3:5" ht="16" thickBot="1"/>
    <row r="7" spans="3:5" ht="16" thickBot="1">
      <c r="C7" s="19" t="s">
        <v>10</v>
      </c>
      <c r="D7" s="20"/>
      <c r="E7" s="21">
        <v>2018</v>
      </c>
    </row>
    <row r="8" spans="3:5">
      <c r="C8" s="2"/>
      <c r="D8" s="18" t="s">
        <v>11</v>
      </c>
      <c r="E8" s="18"/>
    </row>
    <row r="9" spans="3:5">
      <c r="C9" s="2"/>
      <c r="D9" s="2" t="s">
        <v>2</v>
      </c>
      <c r="E9" s="16">
        <f>SUMIF(debit_column,"Cash",debit_amount_column)-SUMIF(credit_column,"Cash",credit_amount_column)</f>
        <v>4236</v>
      </c>
    </row>
    <row r="10" spans="3:5">
      <c r="C10" s="2"/>
      <c r="D10" s="2" t="s">
        <v>34</v>
      </c>
      <c r="E10" s="16">
        <f>SUMIF(debit_column,"Accounts Receivable",debit_amount_column)-SUMIF(credit_column,"Accounts Receivable",credit_amount_column)</f>
        <v>900</v>
      </c>
    </row>
    <row r="11" spans="3:5">
      <c r="C11" s="2"/>
      <c r="D11" s="2" t="s">
        <v>25</v>
      </c>
      <c r="E11" s="16">
        <f>SUMIF(debit_column,"Bank",debit_amount_column)-SUMIF(credit_column,"Bank",credit_amount_column)</f>
        <v>1860</v>
      </c>
    </row>
    <row r="12" spans="3:5">
      <c r="C12" s="2"/>
      <c r="D12" s="3" t="s">
        <v>71</v>
      </c>
      <c r="E12" s="13">
        <f>cash_balance+AR_account+bank_account</f>
        <v>6996</v>
      </c>
    </row>
    <row r="13" spans="3:5">
      <c r="C13" s="2"/>
      <c r="D13" s="2"/>
      <c r="E13" s="2"/>
    </row>
    <row r="14" spans="3:5">
      <c r="C14" s="2"/>
      <c r="D14" s="3" t="s">
        <v>69</v>
      </c>
      <c r="E14" s="3"/>
    </row>
    <row r="15" spans="3:5">
      <c r="C15" s="2"/>
      <c r="D15" s="2" t="s">
        <v>26</v>
      </c>
      <c r="E15" s="16">
        <f>SUMIF(debit_column,"Machinery",debit_amount_column)-SUMIF(credit_column,"Machinery",credit_amount_column)</f>
        <v>149</v>
      </c>
    </row>
    <row r="16" spans="3:5">
      <c r="C16" s="2"/>
      <c r="D16" s="2"/>
      <c r="E16" s="16"/>
    </row>
    <row r="17" spans="3:5">
      <c r="C17" s="2"/>
      <c r="D17" s="2"/>
      <c r="E17" s="16"/>
    </row>
    <row r="18" spans="3:5" ht="16" thickBot="1">
      <c r="C18" s="2"/>
      <c r="D18" s="22" t="s">
        <v>70</v>
      </c>
      <c r="E18" s="23">
        <f>machinery_account</f>
        <v>149</v>
      </c>
    </row>
    <row r="19" spans="3:5" ht="16" thickBot="1">
      <c r="C19" s="19" t="s">
        <v>12</v>
      </c>
      <c r="D19" s="20"/>
      <c r="E19" s="24">
        <f>cash_balance+AR_account+machinery_account+bank_account</f>
        <v>7145</v>
      </c>
    </row>
    <row r="20" spans="3:5" ht="16" thickBot="1">
      <c r="C20" s="25"/>
      <c r="D20" s="25"/>
      <c r="E20" s="26"/>
    </row>
    <row r="21" spans="3:5" ht="16" thickBot="1">
      <c r="C21" s="19" t="s">
        <v>13</v>
      </c>
      <c r="D21" s="20"/>
      <c r="E21" s="21">
        <v>2018</v>
      </c>
    </row>
    <row r="22" spans="3:5">
      <c r="C22" s="2"/>
      <c r="D22" s="18" t="s">
        <v>72</v>
      </c>
      <c r="E22" s="18"/>
    </row>
    <row r="23" spans="3:5">
      <c r="C23" s="2"/>
      <c r="D23" s="2" t="s">
        <v>14</v>
      </c>
      <c r="E23" s="16">
        <f>SUMIF(credit_column,"Accounts Payable",credit_amount_column)-SUMIF(debit_column,"Accounts Payable",debit_amount_column)</f>
        <v>390</v>
      </c>
    </row>
    <row r="24" spans="3:5">
      <c r="C24" s="2"/>
      <c r="D24" s="2" t="s">
        <v>62</v>
      </c>
      <c r="E24" s="16">
        <f>SUMIF(credit_column,"Wages Payable",credit_amount_column)-SUMIF(debit_column,"Wages Payable",debit_amount_column)</f>
        <v>100</v>
      </c>
    </row>
    <row r="25" spans="3:5">
      <c r="C25" s="2"/>
      <c r="D25" s="2" t="s">
        <v>63</v>
      </c>
      <c r="E25" s="16">
        <f>SUMIF(credit_column,"Loan",credit_amount_column)-SUMIF(debit_column,"Loan",debit_amount_column)</f>
        <v>4700</v>
      </c>
    </row>
    <row r="26" spans="3:5">
      <c r="C26" s="2"/>
      <c r="D26" s="3" t="s">
        <v>15</v>
      </c>
      <c r="E26" s="13">
        <f>AP_account+WP_account+loan_account</f>
        <v>5190</v>
      </c>
    </row>
    <row r="27" spans="3:5">
      <c r="C27" s="2"/>
      <c r="D27" s="2"/>
      <c r="E27" s="16"/>
    </row>
    <row r="28" spans="3:5">
      <c r="C28" s="2"/>
      <c r="D28" s="3" t="s">
        <v>16</v>
      </c>
      <c r="E28" s="13"/>
    </row>
    <row r="29" spans="3:5">
      <c r="C29" s="2"/>
      <c r="D29" s="2" t="s">
        <v>17</v>
      </c>
      <c r="E29" s="16">
        <f>net_income</f>
        <v>1955</v>
      </c>
    </row>
    <row r="30" spans="3:5">
      <c r="C30" s="2"/>
      <c r="D30" s="2"/>
      <c r="E30" s="16"/>
    </row>
    <row r="31" spans="3:5">
      <c r="C31" s="2"/>
      <c r="D31" s="2"/>
      <c r="E31" s="16"/>
    </row>
    <row r="32" spans="3:5" ht="16" thickBot="1">
      <c r="C32" s="2"/>
      <c r="D32" s="3" t="s">
        <v>73</v>
      </c>
      <c r="E32" s="13">
        <f>retained_earnings</f>
        <v>1955</v>
      </c>
    </row>
    <row r="33" spans="3:5" ht="16" thickBot="1">
      <c r="C33" s="19" t="s">
        <v>18</v>
      </c>
      <c r="D33" s="20"/>
      <c r="E33" s="24">
        <f>total_liabilities+total_equity</f>
        <v>7145</v>
      </c>
    </row>
    <row r="40" spans="3:5" ht="17">
      <c r="C40" s="5" t="s">
        <v>19</v>
      </c>
      <c r="D40" s="5"/>
      <c r="E40" s="5"/>
    </row>
    <row r="41" spans="3:5">
      <c r="C41" s="6" t="s">
        <v>20</v>
      </c>
      <c r="D41" s="6"/>
      <c r="E41" s="7" t="e">
        <f>IF(E19=0,"",(E26+#REF!)/E19)</f>
        <v>#REF!</v>
      </c>
    </row>
    <row r="42" spans="3:5">
      <c r="C42" s="6" t="s">
        <v>21</v>
      </c>
      <c r="D42" s="6"/>
      <c r="E42" s="7">
        <f>IF(E26=0,"",E12/E26)</f>
        <v>1.3479768786127169</v>
      </c>
    </row>
    <row r="43" spans="3:5">
      <c r="C43" s="6" t="s">
        <v>22</v>
      </c>
      <c r="D43" s="6"/>
      <c r="E43" s="8">
        <f>E12-E26</f>
        <v>1806</v>
      </c>
    </row>
    <row r="44" spans="3:5">
      <c r="C44" s="6" t="s">
        <v>23</v>
      </c>
      <c r="D44" s="6"/>
      <c r="E44" s="7">
        <f>IF(E32=0,"",E19/E32)</f>
        <v>3.6547314578005117</v>
      </c>
    </row>
    <row r="45" spans="3:5">
      <c r="C45" s="6" t="s">
        <v>24</v>
      </c>
      <c r="D45" s="6"/>
      <c r="E45" s="7" t="e">
        <f>IF(E32=0,"",(E26+#REF!)/E32)</f>
        <v>#REF!</v>
      </c>
    </row>
    <row r="46" spans="3:5">
      <c r="C46" s="9"/>
      <c r="D46" s="9"/>
      <c r="E46" s="9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Income</vt:lpstr>
      <vt:lpstr>Balance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Isenberg</dc:creator>
  <cp:lastModifiedBy>Will Isenberg</cp:lastModifiedBy>
  <dcterms:created xsi:type="dcterms:W3CDTF">2016-08-10T19:36:02Z</dcterms:created>
  <dcterms:modified xsi:type="dcterms:W3CDTF">2018-08-07T19:17:45Z</dcterms:modified>
</cp:coreProperties>
</file>